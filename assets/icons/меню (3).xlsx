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asmik\Downloads\"/>
    </mc:Choice>
  </mc:AlternateContent>
  <xr:revisionPtr revIDLastSave="0" documentId="13_ncr:1_{3A1CFC4D-2BC9-4902-8ACB-0814D15AC0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" sheetId="4" r:id="rId1"/>
  </sheets>
  <definedNames>
    <definedName name="_xlnm.Print_Area" localSheetId="0">'1'!$A$1:$F$42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4" l="1"/>
  <c r="F33" i="4"/>
  <c r="F38" i="4" l="1"/>
  <c r="F27" i="4" l="1"/>
  <c r="F26" i="4"/>
  <c r="F25" i="4"/>
  <c r="F24" i="4"/>
  <c r="F23" i="4"/>
  <c r="F22" i="4"/>
  <c r="F21" i="4"/>
  <c r="F37" i="4" l="1"/>
  <c r="F36" i="4" l="1"/>
  <c r="F35" i="4"/>
  <c r="F34" i="4"/>
  <c r="F31" i="4"/>
  <c r="F30" i="4"/>
  <c r="F39" i="4" l="1"/>
</calcChain>
</file>

<file path=xl/sharedStrings.xml><?xml version="1.0" encoding="utf-8"?>
<sst xmlns="http://schemas.openxmlformats.org/spreadsheetml/2006/main" count="49" uniqueCount="42">
  <si>
    <t>Организация</t>
  </si>
  <si>
    <t>Мероприятие</t>
  </si>
  <si>
    <t>Фуршет</t>
  </si>
  <si>
    <t>тел</t>
  </si>
  <si>
    <t>Место</t>
  </si>
  <si>
    <t>Дата</t>
  </si>
  <si>
    <t>Кол-во гостей</t>
  </si>
  <si>
    <t>Время</t>
  </si>
  <si>
    <t>№</t>
  </si>
  <si>
    <t>Наименование</t>
  </si>
  <si>
    <t>Кол-во</t>
  </si>
  <si>
    <t>цена в AMD</t>
  </si>
  <si>
    <t>Сумма в AMD</t>
  </si>
  <si>
    <t>Десерт</t>
  </si>
  <si>
    <t>Ассорти пирожныж</t>
  </si>
  <si>
    <t>шт/50г</t>
  </si>
  <si>
    <r>
      <t xml:space="preserve">Фруктовое ассорти </t>
    </r>
    <r>
      <rPr>
        <sz val="8"/>
        <rFont val="Arial LatRus"/>
        <family val="2"/>
      </rPr>
      <t>(сезонные фрукты)</t>
    </r>
  </si>
  <si>
    <t>Напитки</t>
  </si>
  <si>
    <t>1л</t>
  </si>
  <si>
    <t>Минеральная вода Джермук</t>
  </si>
  <si>
    <t>0,5л</t>
  </si>
  <si>
    <t>Обслуживание, посуда, транспорт</t>
  </si>
  <si>
    <t>Итого:</t>
  </si>
  <si>
    <t>Родниковая вода</t>
  </si>
  <si>
    <t>Мясное ассорти</t>
  </si>
  <si>
    <t>30г</t>
  </si>
  <si>
    <t>Мини хачапури</t>
  </si>
  <si>
    <t>Пирожок с курицей</t>
  </si>
  <si>
    <t>Все</t>
  </si>
  <si>
    <r>
      <t>Спанакопита</t>
    </r>
    <r>
      <rPr>
        <i/>
        <sz val="8"/>
        <rFont val="Arial"/>
        <family val="2"/>
      </rPr>
      <t>/шпинат+сыр моцарелла в тесто фило/</t>
    </r>
  </si>
  <si>
    <t>шт</t>
  </si>
  <si>
    <t>Растворимый кофе/Чай</t>
  </si>
  <si>
    <t>чашка</t>
  </si>
  <si>
    <t>Ланч</t>
  </si>
  <si>
    <t>Натуральные соки Ноян</t>
  </si>
  <si>
    <t>персона</t>
  </si>
  <si>
    <t>Пирожок с капустой</t>
  </si>
  <si>
    <t>Ролл из лаваша и сыра</t>
  </si>
  <si>
    <t>Венский хот дог мини</t>
  </si>
  <si>
    <t>Сендвич с ветчиной и сыром</t>
  </si>
  <si>
    <t>Кола/Фанта/Сптайт</t>
  </si>
  <si>
    <t>порция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</si>
</sst>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р.&quot;"/>
  </numFmts>
  <fonts count="23">
    <font>
      <sz val="11"/>
      <color theme="1"/>
      <name val="Calibri"/>
      <family val="2"/>
      <scheme val="minor"/>
    </font>
    <font>
      <b/>
      <sz val="10"/>
      <name val="Arial LatRus"/>
      <family val="2"/>
    </font>
    <font>
      <sz val="10"/>
      <name val="Arial LatRus"/>
      <family val="2"/>
    </font>
    <font>
      <sz val="8"/>
      <name val="Arial LatRus"/>
      <family val="2"/>
    </font>
    <font>
      <sz val="10"/>
      <color indexed="8"/>
      <name val="Arial LatRus"/>
      <family val="2"/>
    </font>
    <font>
      <u/>
      <sz val="10"/>
      <color indexed="12"/>
      <name val="Arial"/>
      <family val="2"/>
      <charset val="204"/>
    </font>
    <font>
      <u/>
      <sz val="10"/>
      <color indexed="12"/>
      <name val="Arial LatRus"/>
      <family val="2"/>
    </font>
    <font>
      <b/>
      <sz val="11"/>
      <name val="Arial LatRus"/>
      <family val="2"/>
    </font>
    <font>
      <b/>
      <i/>
      <sz val="11"/>
      <name val="Arial LatRus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0"/>
      <color rgb="FF948A54"/>
      <name val="Arial"/>
      <family val="2"/>
    </font>
    <font>
      <b/>
      <sz val="14"/>
      <name val="Arial LatRus"/>
      <family val="2"/>
    </font>
    <font>
      <b/>
      <i/>
      <sz val="10"/>
      <name val="Arial Armenian"/>
      <family val="2"/>
    </font>
    <font>
      <sz val="10"/>
      <name val="Arial Armenian"/>
      <family val="2"/>
    </font>
    <font>
      <b/>
      <sz val="10"/>
      <name val="Arial Armenian"/>
      <family val="2"/>
    </font>
    <font>
      <b/>
      <sz val="9"/>
      <name val="Arial LatRus"/>
      <family val="2"/>
    </font>
    <font>
      <sz val="11"/>
      <color theme="1"/>
      <name val="Calibri"/>
      <family val="2"/>
      <charset val="204"/>
      <scheme val="minor"/>
    </font>
    <font>
      <b/>
      <i/>
      <sz val="10"/>
      <name val="Arial LatRus"/>
      <family val="2"/>
    </font>
    <font>
      <b/>
      <sz val="11"/>
      <color indexed="10"/>
      <name val="Arial LatRus"/>
      <family val="2"/>
    </font>
    <font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9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1" applyFont="1" applyBorder="1" applyAlignment="1" applyProtection="1"/>
    <xf numFmtId="0" fontId="3" fillId="0" borderId="0" xfId="0" applyFont="1" applyAlignment="1">
      <alignment horizontal="left"/>
    </xf>
    <xf numFmtId="0" fontId="7" fillId="0" borderId="1" xfId="0" applyFont="1" applyBorder="1" applyAlignment="1">
      <alignment horizontal="right"/>
    </xf>
    <xf numFmtId="16" fontId="8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0" xfId="0" applyFont="1"/>
    <xf numFmtId="0" fontId="9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/>
    <xf numFmtId="14" fontId="10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center" wrapText="1"/>
    </xf>
    <xf numFmtId="20" fontId="10" fillId="0" borderId="0" xfId="0" applyNumberFormat="1" applyFont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7" fillId="0" borderId="0" xfId="0" applyFont="1"/>
    <xf numFmtId="0" fontId="16" fillId="0" borderId="0" xfId="0" applyFont="1"/>
    <xf numFmtId="0" fontId="17" fillId="0" borderId="0" xfId="0" applyFont="1" applyAlignment="1">
      <alignment horizontal="right"/>
    </xf>
    <xf numFmtId="49" fontId="2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17" fillId="0" borderId="3" xfId="0" applyFont="1" applyBorder="1" applyAlignment="1">
      <alignment horizontal="right"/>
    </xf>
    <xf numFmtId="0" fontId="2" fillId="0" borderId="3" xfId="0" applyFont="1" applyBorder="1" applyAlignment="1">
      <alignment wrapText="1"/>
    </xf>
    <xf numFmtId="0" fontId="16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1" fontId="16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17" fillId="0" borderId="0" xfId="0" applyFont="1" applyBorder="1" applyAlignment="1">
      <alignment horizontal="right"/>
    </xf>
    <xf numFmtId="0" fontId="16" fillId="0" borderId="0" xfId="0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2" applyFont="1" applyAlignment="1">
      <alignment horizontal="right" vertical="center"/>
    </xf>
    <xf numFmtId="0" fontId="16" fillId="0" borderId="0" xfId="2" applyFont="1" applyAlignment="1">
      <alignment vertical="center"/>
    </xf>
    <xf numFmtId="0" fontId="16" fillId="0" borderId="0" xfId="2" applyFont="1" applyAlignment="1">
      <alignment horizontal="center" vertical="center"/>
    </xf>
    <xf numFmtId="0" fontId="19" fillId="0" borderId="0" xfId="2"/>
    <xf numFmtId="0" fontId="0" fillId="0" borderId="0" xfId="0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17" fillId="0" borderId="1" xfId="2" applyFont="1" applyBorder="1" applyAlignment="1">
      <alignment horizontal="right" vertical="center"/>
    </xf>
  </cellXfs>
  <cellStyles count="3">
    <cellStyle name="Hyperlink" xfId="1" builtinId="8"/>
    <cellStyle name="Normal" xfId="0" builtinId="0"/>
    <cellStyle name="Обычный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206319</xdr:colOff>
      <xdr:row>1</xdr:row>
      <xdr:rowOff>1256</xdr:rowOff>
    </xdr:from>
    <xdr:to>
      <xdr:col>5</xdr:col>
      <xdr:colOff>558541</xdr:colOff>
      <xdr:row>11</xdr:row>
      <xdr:rowOff>125356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319" y="163181"/>
          <a:ext cx="7695997" cy="17433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28"/>
  <sheetViews>
    <sheetView tabSelected="1" topLeftCell="A11" zoomScaleNormal="100" workbookViewId="0">
      <selection activeCell="B17" sqref="B17"/>
    </sheetView>
  </sheetViews>
  <sheetFormatPr defaultColWidth="9.1796875" defaultRowHeight="13"/>
  <cols>
    <col min="1" max="1" width="17.7265625" style="1" customWidth="1"/>
    <col min="2" max="2" width="57.7265625" style="2" bestFit="1" customWidth="1"/>
    <col min="3" max="3" width="15.54296875" style="2" customWidth="1"/>
    <col min="4" max="4" width="7" style="5" bestFit="1" customWidth="1"/>
    <col min="5" max="5" width="12.1796875" style="5" customWidth="1"/>
    <col min="6" max="6" width="13.7265625" style="5" customWidth="1"/>
    <col min="7" max="7" width="17.1796875" style="1" customWidth="1"/>
    <col min="8" max="8" width="14.26953125" style="2" bestFit="1" customWidth="1"/>
    <col min="9" max="16384" width="9.1796875" style="2"/>
  </cols>
  <sheetData>
    <row r="2" spans="1:8">
      <c r="C2" s="3"/>
      <c r="D2" s="4"/>
    </row>
    <row r="3" spans="1:8">
      <c r="C3" s="3"/>
      <c r="E3" s="1"/>
      <c r="F3" s="1"/>
    </row>
    <row r="4" spans="1:8">
      <c r="C4" s="3"/>
      <c r="D4" s="3"/>
      <c r="E4" s="1"/>
      <c r="F4" s="1"/>
    </row>
    <row r="5" spans="1:8">
      <c r="C5" s="3"/>
      <c r="D5" s="3"/>
    </row>
    <row r="6" spans="1:8">
      <c r="C6" s="6"/>
      <c r="D6" s="3"/>
    </row>
    <row r="7" spans="1:8">
      <c r="C7" s="6"/>
      <c r="D7" s="3"/>
    </row>
    <row r="8" spans="1:8">
      <c r="C8" s="6"/>
      <c r="D8" s="3"/>
    </row>
    <row r="9" spans="1:8">
      <c r="C9" s="6"/>
      <c r="D9" s="6"/>
    </row>
    <row r="10" spans="1:8">
      <c r="C10" s="7"/>
      <c r="D10" s="7"/>
    </row>
    <row r="11" spans="1:8">
      <c r="C11" s="7"/>
      <c r="D11" s="7"/>
    </row>
    <row r="12" spans="1:8" s="12" customFormat="1" ht="14.5" thickBot="1">
      <c r="A12" s="8"/>
      <c r="B12" s="9"/>
      <c r="C12" s="10"/>
      <c r="D12" s="10"/>
      <c r="E12" s="11"/>
      <c r="F12" s="11"/>
    </row>
    <row r="13" spans="1:8" s="19" customFormat="1">
      <c r="A13" s="13" t="s">
        <v>0</v>
      </c>
      <c r="B13" s="14"/>
      <c r="C13" s="13"/>
      <c r="D13" s="15"/>
      <c r="E13" s="13"/>
      <c r="F13" s="16"/>
      <c r="G13" s="17"/>
      <c r="H13" s="18"/>
    </row>
    <row r="14" spans="1:8" s="19" customFormat="1">
      <c r="A14" s="13" t="s">
        <v>1</v>
      </c>
      <c r="B14" s="14" t="s">
        <v>2</v>
      </c>
      <c r="C14" s="13" t="s">
        <v>3</v>
      </c>
      <c r="D14" s="15"/>
      <c r="E14" s="13"/>
      <c r="F14" s="16"/>
      <c r="G14" s="17"/>
      <c r="H14" s="18"/>
    </row>
    <row r="15" spans="1:8" s="19" customFormat="1">
      <c r="A15" s="13" t="s">
        <v>4</v>
      </c>
      <c r="B15" s="14"/>
      <c r="C15" s="13"/>
      <c r="D15" s="20"/>
      <c r="E15" s="13" t="s">
        <v>5</v>
      </c>
      <c r="F15" s="16"/>
      <c r="G15" s="17"/>
      <c r="H15" s="18"/>
    </row>
    <row r="16" spans="1:8" s="19" customFormat="1">
      <c r="A16" s="13" t="s">
        <v>6</v>
      </c>
      <c r="B16" s="14">
        <v>200</v>
      </c>
      <c r="C16" s="13"/>
      <c r="D16" s="21"/>
      <c r="E16" s="13" t="s">
        <v>7</v>
      </c>
      <c r="F16" s="22"/>
      <c r="G16" s="17"/>
      <c r="H16" s="18"/>
    </row>
    <row r="17" spans="1:9" s="19" customFormat="1" ht="13.5" thickBot="1">
      <c r="A17" s="13"/>
      <c r="B17" s="14"/>
      <c r="C17" s="13"/>
      <c r="D17" s="21"/>
      <c r="E17" s="13"/>
      <c r="F17" s="22"/>
      <c r="G17" s="17"/>
      <c r="H17" s="18"/>
    </row>
    <row r="18" spans="1:9" s="25" customFormat="1" ht="14.5" thickBot="1">
      <c r="A18" s="23" t="s">
        <v>8</v>
      </c>
      <c r="B18" s="24" t="s">
        <v>9</v>
      </c>
      <c r="C18" s="24"/>
      <c r="D18" s="24" t="s">
        <v>10</v>
      </c>
      <c r="E18" s="24" t="s">
        <v>11</v>
      </c>
      <c r="F18" s="24" t="s">
        <v>12</v>
      </c>
      <c r="G18" s="1"/>
    </row>
    <row r="19" spans="1:9" s="60" customFormat="1" ht="21.75" customHeight="1" thickBot="1">
      <c r="A19" s="66" t="s">
        <v>33</v>
      </c>
      <c r="B19" s="66"/>
      <c r="C19" s="66"/>
      <c r="D19" s="66"/>
      <c r="E19" s="66"/>
      <c r="F19" s="66"/>
    </row>
    <row r="20" spans="1:9" s="25" customFormat="1" ht="14">
      <c r="A20" s="55" t="s">
        <v>24</v>
      </c>
      <c r="C20" s="5"/>
      <c r="D20" s="17"/>
      <c r="E20" s="5"/>
      <c r="F20" s="5"/>
      <c r="G20" s="56"/>
      <c r="H20" s="33"/>
    </row>
    <row r="21" spans="1:9" s="25" customFormat="1" ht="14">
      <c r="A21" s="55">
        <v>1</v>
      </c>
      <c r="B21" s="2" t="s">
        <v>38</v>
      </c>
      <c r="C21" s="5" t="s">
        <v>30</v>
      </c>
      <c r="D21" s="17">
        <v>120</v>
      </c>
      <c r="E21" s="5">
        <v>600</v>
      </c>
      <c r="F21" s="32">
        <f>E21*D21</f>
        <v>72000</v>
      </c>
      <c r="G21" s="33"/>
    </row>
    <row r="22" spans="1:9" s="25" customFormat="1" ht="14">
      <c r="A22" s="55">
        <v>2</v>
      </c>
      <c r="B22" s="2" t="s">
        <v>27</v>
      </c>
      <c r="C22" s="5" t="s">
        <v>25</v>
      </c>
      <c r="D22" s="17">
        <v>120</v>
      </c>
      <c r="E22" s="5">
        <v>250</v>
      </c>
      <c r="F22" s="32">
        <f>E22*D22</f>
        <v>30000</v>
      </c>
      <c r="G22" s="33"/>
    </row>
    <row r="23" spans="1:9" s="25" customFormat="1" ht="14">
      <c r="A23" s="55">
        <v>3</v>
      </c>
      <c r="B23" s="67" t="s">
        <v>39</v>
      </c>
      <c r="C23" s="5" t="s">
        <v>25</v>
      </c>
      <c r="D23" s="17">
        <v>120</v>
      </c>
      <c r="E23" s="5">
        <v>500</v>
      </c>
      <c r="F23" s="32">
        <f>E23*D23</f>
        <v>60000</v>
      </c>
      <c r="G23" s="33"/>
    </row>
    <row r="24" spans="1:9" s="25" customFormat="1" ht="14">
      <c r="A24" s="55">
        <v>4</v>
      </c>
      <c r="B24" s="2" t="s">
        <v>26</v>
      </c>
      <c r="C24" s="5" t="s">
        <v>25</v>
      </c>
      <c r="D24" s="17">
        <v>120</v>
      </c>
      <c r="E24" s="5">
        <v>200</v>
      </c>
      <c r="F24" s="32">
        <f>E24*D24</f>
        <v>24000</v>
      </c>
      <c r="G24" s="33"/>
    </row>
    <row r="25" spans="1:9" s="25" customFormat="1" ht="14">
      <c r="A25" s="55">
        <v>5</v>
      </c>
      <c r="B25" s="68" t="s">
        <v>37</v>
      </c>
      <c r="C25" s="5" t="s">
        <v>25</v>
      </c>
      <c r="D25" s="17">
        <v>120</v>
      </c>
      <c r="E25" s="5">
        <v>460</v>
      </c>
      <c r="F25" s="32">
        <f>E25*D25</f>
        <v>55200</v>
      </c>
      <c r="G25" s="33"/>
    </row>
    <row r="26" spans="1:9" s="25" customFormat="1" ht="14">
      <c r="A26" s="55">
        <v>6</v>
      </c>
      <c r="B26" s="68" t="s">
        <v>36</v>
      </c>
      <c r="C26" s="5" t="s">
        <v>25</v>
      </c>
      <c r="D26" s="17">
        <v>120</v>
      </c>
      <c r="E26" s="5">
        <v>250</v>
      </c>
      <c r="F26" s="32">
        <f>E26*D26</f>
        <v>30000</v>
      </c>
      <c r="G26" s="33"/>
    </row>
    <row r="27" spans="1:9" s="25" customFormat="1" ht="14">
      <c r="A27" s="55">
        <v>7</v>
      </c>
      <c r="B27" s="57" t="s">
        <v>29</v>
      </c>
      <c r="C27" s="5" t="s">
        <v>25</v>
      </c>
      <c r="D27" s="17">
        <v>120</v>
      </c>
      <c r="E27" s="5">
        <v>460</v>
      </c>
      <c r="F27" s="32">
        <f>E27*D27</f>
        <v>55200</v>
      </c>
      <c r="G27" s="33"/>
    </row>
    <row r="28" spans="1:9" s="25" customFormat="1" ht="14">
      <c r="A28" s="55"/>
      <c r="B28" s="57"/>
      <c r="C28" s="59" t="s">
        <v>28</v>
      </c>
      <c r="D28" s="14">
        <f>SUM(D20:D27)</f>
        <v>840</v>
      </c>
      <c r="E28" s="5"/>
      <c r="F28" s="32"/>
      <c r="G28" s="33"/>
    </row>
    <row r="29" spans="1:9" s="30" customFormat="1">
      <c r="A29" s="58" t="s">
        <v>13</v>
      </c>
      <c r="B29" s="26"/>
      <c r="C29" s="28"/>
      <c r="D29" s="28"/>
      <c r="E29" s="5"/>
      <c r="F29" s="32"/>
      <c r="G29" s="29"/>
    </row>
    <row r="30" spans="1:9" s="30" customFormat="1">
      <c r="A30" s="31">
        <v>1</v>
      </c>
      <c r="B30" s="27" t="s">
        <v>14</v>
      </c>
      <c r="C30" s="28" t="s">
        <v>15</v>
      </c>
      <c r="D30" s="28">
        <v>300</v>
      </c>
      <c r="E30" s="5">
        <v>450</v>
      </c>
      <c r="F30" s="32">
        <f>E30*D30</f>
        <v>135000</v>
      </c>
      <c r="G30" s="29"/>
    </row>
    <row r="31" spans="1:9" s="30" customFormat="1">
      <c r="A31" s="35">
        <v>2</v>
      </c>
      <c r="B31" s="36" t="s">
        <v>16</v>
      </c>
      <c r="C31" s="37" t="s">
        <v>41</v>
      </c>
      <c r="D31" s="37">
        <v>200</v>
      </c>
      <c r="E31" s="38">
        <v>600</v>
      </c>
      <c r="F31" s="39">
        <f>E31*D31</f>
        <v>120000</v>
      </c>
      <c r="G31" s="29"/>
      <c r="I31" s="40"/>
    </row>
    <row r="32" spans="1:9" s="25" customFormat="1" ht="14">
      <c r="A32" s="41" t="s">
        <v>17</v>
      </c>
      <c r="B32" s="2"/>
      <c r="C32" s="5"/>
      <c r="D32" s="5"/>
      <c r="E32" s="34"/>
      <c r="F32" s="5"/>
      <c r="G32" s="33"/>
    </row>
    <row r="33" spans="1:9" customFormat="1" ht="14.5">
      <c r="A33" s="61">
        <v>1</v>
      </c>
      <c r="B33" s="62" t="s">
        <v>31</v>
      </c>
      <c r="C33" s="28" t="s">
        <v>32</v>
      </c>
      <c r="D33" s="63">
        <v>200</v>
      </c>
      <c r="E33" s="63">
        <v>350</v>
      </c>
      <c r="F33" s="28">
        <f t="shared" ref="F33" si="0">+D33*E33</f>
        <v>70000</v>
      </c>
      <c r="G33" s="64"/>
      <c r="H33" s="65"/>
    </row>
    <row r="34" spans="1:9" s="25" customFormat="1" ht="14">
      <c r="A34" s="61">
        <v>2</v>
      </c>
      <c r="B34" s="2" t="s">
        <v>34</v>
      </c>
      <c r="C34" s="5" t="s">
        <v>18</v>
      </c>
      <c r="D34" s="5">
        <v>14</v>
      </c>
      <c r="E34" s="5">
        <v>1300</v>
      </c>
      <c r="F34" s="32">
        <f>E34*D34</f>
        <v>18200</v>
      </c>
      <c r="G34" s="33"/>
    </row>
    <row r="35" spans="1:9" s="18" customFormat="1">
      <c r="A35" s="61">
        <v>3</v>
      </c>
      <c r="B35" s="18" t="s">
        <v>40</v>
      </c>
      <c r="C35" s="5" t="s">
        <v>18</v>
      </c>
      <c r="D35" s="17">
        <v>20</v>
      </c>
      <c r="E35" s="17">
        <v>850</v>
      </c>
      <c r="F35" s="17">
        <f>E35*D35</f>
        <v>17000</v>
      </c>
      <c r="G35" s="15"/>
    </row>
    <row r="36" spans="1:9" s="25" customFormat="1" ht="14">
      <c r="A36" s="61">
        <v>4</v>
      </c>
      <c r="B36" s="46" t="s">
        <v>19</v>
      </c>
      <c r="C36" s="47" t="s">
        <v>20</v>
      </c>
      <c r="D36" s="47">
        <v>18</v>
      </c>
      <c r="E36" s="47">
        <v>250</v>
      </c>
      <c r="F36" s="54">
        <f>E36*D36</f>
        <v>4500</v>
      </c>
      <c r="G36" s="33"/>
    </row>
    <row r="37" spans="1:9" s="25" customFormat="1" ht="14.5" thickBot="1">
      <c r="A37" s="69">
        <v>5</v>
      </c>
      <c r="B37" s="51" t="s">
        <v>23</v>
      </c>
      <c r="C37" s="52" t="s">
        <v>20</v>
      </c>
      <c r="D37" s="52">
        <v>100</v>
      </c>
      <c r="E37" s="52">
        <v>250</v>
      </c>
      <c r="F37" s="53">
        <f>E37*D37</f>
        <v>25000</v>
      </c>
      <c r="G37" s="33"/>
    </row>
    <row r="38" spans="1:9" s="30" customFormat="1">
      <c r="A38" s="48"/>
      <c r="B38" s="2" t="s">
        <v>21</v>
      </c>
      <c r="C38" s="49" t="s">
        <v>35</v>
      </c>
      <c r="D38" s="49">
        <v>200</v>
      </c>
      <c r="E38" s="47">
        <v>1500</v>
      </c>
      <c r="F38" s="50">
        <f>+E38*D38</f>
        <v>300000</v>
      </c>
      <c r="G38" s="29"/>
      <c r="I38" s="40"/>
    </row>
    <row r="39" spans="1:9" ht="14">
      <c r="A39" s="41"/>
      <c r="C39" s="5"/>
      <c r="E39" s="42" t="s">
        <v>22</v>
      </c>
      <c r="F39" s="43">
        <f>SUM(F19:F38)</f>
        <v>1016100</v>
      </c>
    </row>
    <row r="40" spans="1:9">
      <c r="A40" s="41"/>
      <c r="C40" s="5"/>
      <c r="E40" s="44"/>
      <c r="F40" s="45"/>
    </row>
    <row r="41" spans="1:9">
      <c r="C41" s="5"/>
    </row>
    <row r="42" spans="1:9">
      <c r="C42" s="5"/>
    </row>
    <row r="43" spans="1:9">
      <c r="C43" s="5"/>
    </row>
    <row r="44" spans="1:9">
      <c r="C44" s="5"/>
    </row>
    <row r="45" spans="1:9">
      <c r="C45" s="5"/>
    </row>
    <row r="46" spans="1:9">
      <c r="C46" s="5"/>
    </row>
    <row r="47" spans="1:9">
      <c r="C47" s="5"/>
    </row>
    <row r="48" spans="1:9">
      <c r="C48" s="5"/>
    </row>
    <row r="49" spans="3:3">
      <c r="C49" s="5"/>
    </row>
    <row r="50" spans="3:3">
      <c r="C50" s="5"/>
    </row>
    <row r="51" spans="3:3">
      <c r="C51" s="5"/>
    </row>
    <row r="52" spans="3:3">
      <c r="C52" s="5"/>
    </row>
    <row r="53" spans="3:3">
      <c r="C53" s="5"/>
    </row>
    <row r="54" spans="3:3">
      <c r="C54" s="5"/>
    </row>
    <row r="55" spans="3:3">
      <c r="C55" s="5"/>
    </row>
    <row r="56" spans="3:3">
      <c r="C56" s="5"/>
    </row>
    <row r="57" spans="3:3">
      <c r="C57" s="5"/>
    </row>
    <row r="58" spans="3:3">
      <c r="C58" s="5"/>
    </row>
    <row r="59" spans="3:3">
      <c r="C59" s="5"/>
    </row>
    <row r="60" spans="3:3">
      <c r="C60" s="5"/>
    </row>
    <row r="61" spans="3:3">
      <c r="C61" s="5"/>
    </row>
    <row r="62" spans="3:3">
      <c r="C62" s="5"/>
    </row>
    <row r="63" spans="3:3">
      <c r="C63" s="5"/>
    </row>
    <row r="64" spans="3:3">
      <c r="C64" s="5"/>
    </row>
    <row r="65" spans="3:3">
      <c r="C65" s="5"/>
    </row>
    <row r="66" spans="3:3">
      <c r="C66" s="5"/>
    </row>
    <row r="67" spans="3:3">
      <c r="C67" s="5"/>
    </row>
    <row r="68" spans="3:3">
      <c r="C68" s="5"/>
    </row>
    <row r="69" spans="3:3">
      <c r="C69" s="5"/>
    </row>
    <row r="70" spans="3:3">
      <c r="C70" s="5"/>
    </row>
    <row r="71" spans="3:3">
      <c r="C71" s="5"/>
    </row>
    <row r="72" spans="3:3">
      <c r="C72" s="5"/>
    </row>
    <row r="73" spans="3:3">
      <c r="C73" s="5"/>
    </row>
    <row r="74" spans="3:3">
      <c r="C74" s="5"/>
    </row>
    <row r="75" spans="3:3">
      <c r="C75" s="5"/>
    </row>
    <row r="76" spans="3:3">
      <c r="C76" s="5"/>
    </row>
    <row r="77" spans="3:3">
      <c r="C77" s="5"/>
    </row>
    <row r="78" spans="3:3">
      <c r="C78" s="5"/>
    </row>
    <row r="79" spans="3:3">
      <c r="C79" s="5"/>
    </row>
    <row r="80" spans="3:3">
      <c r="C80" s="5"/>
    </row>
    <row r="81" spans="3:3">
      <c r="C81" s="5"/>
    </row>
    <row r="82" spans="3:3">
      <c r="C82" s="5"/>
    </row>
    <row r="83" spans="3:3">
      <c r="C83" s="5"/>
    </row>
    <row r="84" spans="3:3">
      <c r="C84" s="5"/>
    </row>
    <row r="85" spans="3:3">
      <c r="C85" s="5"/>
    </row>
    <row r="86" spans="3:3">
      <c r="C86" s="5"/>
    </row>
    <row r="87" spans="3:3">
      <c r="C87" s="5"/>
    </row>
    <row r="88" spans="3:3">
      <c r="C88" s="5"/>
    </row>
    <row r="89" spans="3:3">
      <c r="C89" s="5"/>
    </row>
    <row r="90" spans="3:3">
      <c r="C90" s="5"/>
    </row>
    <row r="91" spans="3:3">
      <c r="C91" s="5"/>
    </row>
    <row r="92" spans="3:3">
      <c r="C92" s="5"/>
    </row>
    <row r="93" spans="3:3">
      <c r="C93" s="5"/>
    </row>
    <row r="94" spans="3:3">
      <c r="C94" s="5"/>
    </row>
    <row r="95" spans="3:3">
      <c r="C95" s="5"/>
    </row>
    <row r="96" spans="3:3">
      <c r="C96" s="5"/>
    </row>
    <row r="97" spans="3:3">
      <c r="C97" s="5"/>
    </row>
    <row r="98" spans="3:3">
      <c r="C98" s="5"/>
    </row>
    <row r="99" spans="3:3">
      <c r="C99" s="5"/>
    </row>
    <row r="100" spans="3:3">
      <c r="C100" s="5"/>
    </row>
    <row r="101" spans="3:3">
      <c r="C101" s="5"/>
    </row>
    <row r="102" spans="3:3">
      <c r="C102" s="5"/>
    </row>
    <row r="103" spans="3:3">
      <c r="C103" s="5"/>
    </row>
    <row r="328" spans="4:6">
      <c r="D328" s="2"/>
      <c r="E328" s="2"/>
      <c r="F328" s="2"/>
    </row>
  </sheetData>
  <mergeCells count="1">
    <mergeCell ref="A19:F19"/>
  </mergeCells>
  <pageMargins left="0.7" right="0.7" top="0.75" bottom="0.75" header="0.3" footer="0.3"/>
  <pageSetup paperSize="9"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Fine Co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Hasmik Khachatryan</cp:lastModifiedBy>
  <dcterms:created xsi:type="dcterms:W3CDTF">2023-05-02T10:54:29Z</dcterms:created>
  <dcterms:modified xsi:type="dcterms:W3CDTF">2026-03-30T13:19:01Z</dcterms:modified>
</cp:coreProperties>
</file>